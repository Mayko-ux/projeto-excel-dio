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3EC57745-FD5B-4C5C-B02E-49C79426EA3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rojeto (DIO)" sheetId="1" r:id="rId1"/>
    <sheet name="Planilha1" sheetId="2" r:id="rId2"/>
  </sheets>
  <definedNames>
    <definedName name="Aporte">'Projeto (DIO)'!$C$16:$D$16</definedName>
    <definedName name="Rendimentocarteira">'Projeto (DIO)'!$C$12:$C$12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1" l="1"/>
  <c r="C13" i="1"/>
  <c r="C34" i="1"/>
  <c r="C35" i="1"/>
  <c r="C36" i="1"/>
  <c r="C37" i="1"/>
  <c r="C38" i="1"/>
  <c r="C33" i="1"/>
  <c r="J7" i="2"/>
  <c r="H7" i="2"/>
  <c r="A19" i="2"/>
  <c r="A20" i="2"/>
  <c r="A21" i="2"/>
  <c r="A22" i="2"/>
  <c r="A23" i="2"/>
  <c r="A18" i="2"/>
  <c r="A11" i="2"/>
  <c r="A12" i="2"/>
  <c r="A13" i="2"/>
  <c r="A14" i="2"/>
  <c r="A15" i="2"/>
  <c r="A10" i="2"/>
  <c r="E33" i="1"/>
  <c r="E34" i="1"/>
  <c r="E35" i="1"/>
  <c r="E36" i="1"/>
  <c r="E37" i="1"/>
  <c r="E38" i="1"/>
  <c r="C19" i="1"/>
  <c r="E25" i="1"/>
  <c r="C27" i="1"/>
  <c r="E27" i="1" s="1"/>
  <c r="C26" i="1"/>
  <c r="E26" i="1" s="1"/>
  <c r="C24" i="1"/>
  <c r="E24" i="1" s="1"/>
  <c r="C23" i="1"/>
  <c r="E23" i="1" s="1"/>
  <c r="C20" i="1"/>
  <c r="E39" i="1" l="1"/>
</calcChain>
</file>

<file path=xl/sharedStrings.xml><?xml version="1.0" encoding="utf-8"?>
<sst xmlns="http://schemas.openxmlformats.org/spreadsheetml/2006/main" count="81" uniqueCount="41">
  <si>
    <t>Configuração</t>
  </si>
  <si>
    <t xml:space="preserve">Salário </t>
  </si>
  <si>
    <t>Rendimento da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</si>
  <si>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</si>
  <si>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</si>
  <si>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</si>
  <si>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</si>
  <si>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</si>
  <si>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</si>
  <si>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</si>
  <si>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Cenários </t>
  </si>
  <si>
    <t>Dividendos</t>
  </si>
  <si>
    <t>Quanto em 2 anos?</t>
  </si>
  <si>
    <t>Quanto em 5 anos?</t>
  </si>
  <si>
    <t>Quanto em 10 anos?</t>
  </si>
  <si>
    <t>Quanto em 20 anos?</t>
  </si>
  <si>
    <t>Quanto em 30 anos ?</t>
  </si>
  <si>
    <t xml:space="preserve">Perfil </t>
  </si>
  <si>
    <t>Moderado</t>
  </si>
  <si>
    <t>Tipo de FI</t>
  </si>
  <si>
    <t xml:space="preserve">Percentual sugerido </t>
  </si>
  <si>
    <t>Valores</t>
  </si>
  <si>
    <t>Papel</t>
  </si>
  <si>
    <t>Tijolo</t>
  </si>
  <si>
    <t>Híbridos</t>
  </si>
  <si>
    <t>-Híbridos"; Planilha1!$A$2:$E$7; 4; FALSO)</t>
  </si>
  <si>
    <t>FOFs</t>
  </si>
  <si>
    <t xml:space="preserve">Desenvolvimento </t>
  </si>
  <si>
    <t>Hotelarias</t>
  </si>
  <si>
    <t>Chave composto</t>
  </si>
  <si>
    <t>Perfil</t>
  </si>
  <si>
    <t>Perfil de Fii</t>
  </si>
  <si>
    <t>%</t>
  </si>
  <si>
    <t>Conservador-Papel</t>
  </si>
  <si>
    <t xml:space="preserve">Conservador	</t>
  </si>
  <si>
    <t>Conservador-Tijolo</t>
  </si>
  <si>
    <t>Conservador-Híbridos</t>
  </si>
  <si>
    <t>Conservador-FOFs</t>
  </si>
  <si>
    <t xml:space="preserve">Conservador-Desenvolvimento </t>
  </si>
  <si>
    <t>Conservador-Hotelarias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</si>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</sst>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0.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6"/>
      <color rgb="FFEBD18C"/>
      <name val="Calibri"/>
      <scheme val="minor"/>
    </font>
    <font>
      <sz val="12"/>
      <color rgb="FF000000"/>
      <name val="Segoe UI"/>
      <charset val="1"/>
    </font>
    <font>
      <b/>
      <sz val="12"/>
      <color rgb="FF000000"/>
      <name val="Segoe UI"/>
      <charset val="1"/>
    </font>
    <font>
      <sz val="11"/>
      <color theme="1"/>
      <name val="Segoe UI"/>
    </font>
    <font>
      <b/>
      <sz val="11"/>
      <color theme="1"/>
      <name val="Segoe UI"/>
    </font>
    <font>
      <b/>
      <sz val="10"/>
      <color rgb="FFEBD18C"/>
      <name val="Calibri"/>
      <scheme val="minor"/>
    </font>
    <font>
      <b/>
      <sz val="11"/>
      <color rgb="FF000000"/>
      <name val="Segoe UI"/>
    </font>
    <font>
      <sz val="11"/>
      <color rgb="FF000000"/>
      <name val="Segoe UI"/>
      <charset val="1"/>
    </font>
    <font>
      <b/>
      <sz val="11"/>
      <color rgb="FF548235"/>
      <name val="Segoe UI"/>
    </font>
    <font>
      <b/>
      <sz val="11"/>
      <color theme="9" tint="-0.249977111117893"/>
      <name val="Segoe UI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E332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9" tint="0.79998168889431442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2" fillId="7" borderId="0" applyNumberFormat="0" applyBorder="0" applyAlignment="0" applyProtection="0"/>
    <xf numFmtId="0" fontId="1" fillId="10" borderId="0" applyNumberFormat="0" applyBorder="0" applyAlignment="0" applyProtection="0"/>
  </cellStyleXfs>
  <cellXfs count="62">
    <xf numFmtId="0" fontId="0" fillId="0" borderId="0" xfId="0"/>
    <xf numFmtId="0" fontId="5" fillId="3" borderId="1" xfId="0" applyFont="1" applyFill="1" applyBorder="1"/>
    <xf numFmtId="0" fontId="5" fillId="3" borderId="3" xfId="0" applyFont="1" applyFill="1" applyBorder="1"/>
    <xf numFmtId="0" fontId="4" fillId="0" borderId="4" xfId="0" applyFont="1" applyBorder="1"/>
    <xf numFmtId="0" fontId="4" fillId="0" borderId="2" xfId="0" applyFont="1" applyBorder="1"/>
    <xf numFmtId="0" fontId="4" fillId="4" borderId="1" xfId="0" applyFont="1" applyFill="1" applyBorder="1"/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0" fillId="0" borderId="0" xfId="0" applyBorder="1"/>
    <xf numFmtId="0" fontId="6" fillId="5" borderId="1" xfId="0" applyFont="1" applyFill="1" applyBorder="1"/>
    <xf numFmtId="0" fontId="8" fillId="2" borderId="4" xfId="0" applyFont="1" applyFill="1" applyBorder="1" applyAlignment="1">
      <alignment horizontal="center" vertical="center"/>
    </xf>
    <xf numFmtId="8" fontId="7" fillId="6" borderId="1" xfId="0" applyNumberFormat="1" applyFont="1" applyFill="1" applyBorder="1"/>
    <xf numFmtId="8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6" fillId="0" borderId="0" xfId="0" applyFont="1"/>
    <xf numFmtId="0" fontId="0" fillId="0" borderId="9" xfId="0" applyBorder="1"/>
    <xf numFmtId="0" fontId="6" fillId="8" borderId="11" xfId="0" applyFont="1" applyFill="1" applyBorder="1"/>
    <xf numFmtId="0" fontId="10" fillId="8" borderId="12" xfId="0" applyFont="1" applyFill="1" applyBorder="1"/>
    <xf numFmtId="164" fontId="6" fillId="8" borderId="9" xfId="0" applyNumberFormat="1" applyFont="1" applyFill="1" applyBorder="1" applyAlignment="1">
      <alignment horizontal="center"/>
    </xf>
    <xf numFmtId="0" fontId="6" fillId="8" borderId="10" xfId="0" applyFont="1" applyFill="1" applyBorder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8" fontId="0" fillId="0" borderId="0" xfId="0" applyNumberFormat="1"/>
    <xf numFmtId="0" fontId="3" fillId="2" borderId="1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64" fontId="7" fillId="0" borderId="15" xfId="0" applyNumberFormat="1" applyFont="1" applyBorder="1" applyAlignment="1">
      <alignment vertical="center"/>
    </xf>
    <xf numFmtId="10" fontId="7" fillId="0" borderId="15" xfId="0" applyNumberFormat="1" applyFont="1" applyBorder="1" applyAlignment="1">
      <alignment vertical="center"/>
    </xf>
    <xf numFmtId="164" fontId="7" fillId="0" borderId="14" xfId="0" applyNumberFormat="1" applyFont="1" applyBorder="1" applyAlignment="1">
      <alignment horizontal="center" vertical="center"/>
    </xf>
    <xf numFmtId="10" fontId="7" fillId="0" borderId="14" xfId="0" applyNumberFormat="1" applyFont="1" applyBorder="1" applyAlignment="1">
      <alignment horizontal="center" vertical="center"/>
    </xf>
    <xf numFmtId="8" fontId="6" fillId="0" borderId="0" xfId="0" applyNumberFormat="1" applyFont="1"/>
    <xf numFmtId="0" fontId="7" fillId="0" borderId="0" xfId="0" applyFont="1"/>
    <xf numFmtId="8" fontId="7" fillId="0" borderId="0" xfId="0" applyNumberFormat="1" applyFont="1"/>
    <xf numFmtId="0" fontId="6" fillId="9" borderId="0" xfId="0" applyFont="1" applyFill="1"/>
    <xf numFmtId="0" fontId="7" fillId="9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9" fontId="0" fillId="0" borderId="0" xfId="0" applyNumberFormat="1"/>
    <xf numFmtId="8" fontId="6" fillId="9" borderId="0" xfId="0" applyNumberFormat="1" applyFont="1" applyFill="1"/>
    <xf numFmtId="9" fontId="6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0" fillId="9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9" borderId="0" xfId="0" applyNumberFormat="1" applyFill="1" applyAlignment="1">
      <alignment horizontal="center"/>
    </xf>
    <xf numFmtId="9" fontId="0" fillId="6" borderId="0" xfId="0" applyNumberFormat="1" applyFill="1" applyAlignment="1">
      <alignment horizontal="center"/>
    </xf>
    <xf numFmtId="9" fontId="13" fillId="11" borderId="0" xfId="0" applyNumberFormat="1" applyFont="1" applyFill="1"/>
    <xf numFmtId="0" fontId="0" fillId="9" borderId="0" xfId="0" applyFill="1" applyAlignment="1">
      <alignment horizontal="center"/>
    </xf>
    <xf numFmtId="164" fontId="0" fillId="8" borderId="9" xfId="0" applyNumberForma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0" fontId="12" fillId="7" borderId="0" xfId="1" applyFont="1" applyAlignment="1">
      <alignment horizontal="center"/>
    </xf>
    <xf numFmtId="0" fontId="11" fillId="7" borderId="0" xfId="1" applyFont="1" applyAlignment="1">
      <alignment horizontal="center"/>
    </xf>
    <xf numFmtId="8" fontId="7" fillId="0" borderId="14" xfId="0" applyNumberFormat="1" applyFont="1" applyBorder="1" applyAlignment="1">
      <alignment horizontal="center" vertical="center"/>
    </xf>
    <xf numFmtId="8" fontId="7" fillId="0" borderId="15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8" fontId="7" fillId="5" borderId="14" xfId="0" applyNumberFormat="1" applyFont="1" applyFill="1" applyBorder="1" applyAlignment="1">
      <alignment horizontal="center"/>
    </xf>
    <xf numFmtId="8" fontId="7" fillId="5" borderId="15" xfId="0" applyNumberFormat="1" applyFont="1" applyFill="1" applyBorder="1" applyAlignment="1">
      <alignment horizontal="center"/>
    </xf>
    <xf numFmtId="0" fontId="1" fillId="10" borderId="0" xfId="2" applyAlignment="1">
      <alignment horizontal="center"/>
    </xf>
  </cellXfs>
  <cellStyles count="3">
    <cellStyle name="60% - Ênfase2" xfId="1" builtinId="36"/>
    <cellStyle name="60% - Ênfase4" xfId="2" builtinId="44"/>
    <cellStyle name="Normal" xfId="0" builtinId="0"/>
  </cellStyles>
  <dxfs count="0"/>
  <tableStyles count="0" defaultTableStyle="TableStyleMedium2" defaultPivotStyle="PivotStyleMedium9"/>
  <colors>
    <mruColors>
      <color rgb="FFEBD18C"/>
      <color rgb="FF0E33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1</xdr:row>
      <xdr:rowOff>0</xdr:rowOff>
    </xdr:from>
    <xdr:to>
      <xdr:col>4</xdr:col>
      <xdr:colOff>9525</xdr:colOff>
      <xdr:row>8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712554-994E-EA88-6D47-E2E872C56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170" t="11797" r="2367" b="6183"/>
        <a:stretch>
          <a:fillRect/>
        </a:stretch>
      </xdr:blipFill>
      <xdr:spPr>
        <a:xfrm>
          <a:off x="342900" y="190500"/>
          <a:ext cx="4610100" cy="139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G39"/>
  <sheetViews>
    <sheetView showGridLines="0" tabSelected="1" workbookViewId="0">
      <selection activeCell="C25" sqref="C25"/>
    </sheetView>
  </sheetViews>
  <sheetFormatPr defaultColWidth="0" defaultRowHeight="15"/>
  <cols>
    <col min="1" max="1" width="5.42578125" customWidth="1"/>
    <col min="2" max="2" width="35.140625" customWidth="1"/>
    <col min="3" max="3" width="33.42578125" customWidth="1"/>
    <col min="4" max="4" width="0.140625" customWidth="1"/>
    <col min="5" max="5" width="19.42578125" customWidth="1"/>
    <col min="6" max="6" width="6" customWidth="1"/>
    <col min="7" max="7" width="23" hidden="1" customWidth="1"/>
  </cols>
  <sheetData>
    <row r="10" spans="2:4" ht="21">
      <c r="B10" s="21" t="s">
        <v>0</v>
      </c>
      <c r="C10" s="22"/>
    </row>
    <row r="11" spans="2:4" ht="16.5">
      <c r="B11" s="17" t="s">
        <v>1</v>
      </c>
      <c r="C11" s="19">
        <v>5000</v>
      </c>
    </row>
    <row r="12" spans="2:4" ht="16.5">
      <c r="B12" s="18" t="s">
        <v>2</v>
      </c>
      <c r="C12" s="52">
        <v>6.0000000000000001E-3</v>
      </c>
    </row>
    <row r="13" spans="2:4" ht="16.5">
      <c r="B13" s="20" t="s">
        <v>3</v>
      </c>
      <c r="C13" s="51">
        <f>C11*30%</f>
        <v>1500</v>
      </c>
    </row>
    <row r="15" spans="2:4" ht="21">
      <c r="B15" s="24" t="s">
        <v>4</v>
      </c>
      <c r="C15" s="25"/>
      <c r="D15" s="26"/>
    </row>
    <row r="16" spans="2:4" ht="23.25" customHeight="1">
      <c r="B16" s="3" t="s">
        <v>5</v>
      </c>
      <c r="C16" s="29">
        <v>100</v>
      </c>
      <c r="D16" s="27"/>
    </row>
    <row r="17" spans="2:7" ht="26.25" customHeight="1">
      <c r="B17" s="5" t="s">
        <v>6</v>
      </c>
      <c r="C17" s="57">
        <v>5</v>
      </c>
      <c r="D17" s="58"/>
    </row>
    <row r="18" spans="2:7" ht="18.75" customHeight="1">
      <c r="B18" s="4" t="s">
        <v>7</v>
      </c>
      <c r="C18" s="30">
        <v>1.0789999999999999E-2</v>
      </c>
      <c r="D18" s="28"/>
    </row>
    <row r="19" spans="2:7" ht="18.75" customHeight="1">
      <c r="B19" s="2" t="s">
        <v>8</v>
      </c>
      <c r="C19" s="55">
        <f>FV(C18,C17*12,C16*-1)</f>
        <v>8377.6913998487635</v>
      </c>
      <c r="D19" s="56"/>
    </row>
    <row r="20" spans="2:7" ht="18.75" customHeight="1">
      <c r="B20" s="1" t="s">
        <v>9</v>
      </c>
      <c r="C20" s="55">
        <f>(C19*C18)</f>
        <v>90.395290204368152</v>
      </c>
      <c r="D20" s="56"/>
    </row>
    <row r="21" spans="2:7" ht="18.75" customHeight="1"/>
    <row r="22" spans="2:7" ht="18.75" customHeight="1">
      <c r="B22" s="6" t="s">
        <v>10</v>
      </c>
      <c r="C22" s="7"/>
      <c r="D22" s="8"/>
      <c r="E22" s="11" t="s">
        <v>11</v>
      </c>
    </row>
    <row r="23" spans="2:7" ht="16.5">
      <c r="B23" s="10" t="s">
        <v>12</v>
      </c>
      <c r="C23" s="13">
        <f>FV(C18,2*12,C16*-1)</f>
        <v>2722.7627297645217</v>
      </c>
      <c r="D23" s="14"/>
      <c r="E23" s="12">
        <f>C23*C12</f>
        <v>16.336576378587132</v>
      </c>
    </row>
    <row r="24" spans="2:7" ht="16.5">
      <c r="B24" s="10" t="s">
        <v>13</v>
      </c>
      <c r="C24" s="13">
        <f>FV(C18,5*12,C16*-1)</f>
        <v>8377.6913998487635</v>
      </c>
      <c r="D24" s="14"/>
      <c r="E24" s="12">
        <f>C24*$C$12</f>
        <v>50.266148399092579</v>
      </c>
      <c r="G24" s="16"/>
    </row>
    <row r="25" spans="2:7" ht="16.5">
      <c r="B25" s="10" t="s">
        <v>14</v>
      </c>
      <c r="C25" s="13">
        <f>FV(C18,10*12,C16*-1)</f>
        <v>24328.421253017219</v>
      </c>
      <c r="D25" s="13"/>
      <c r="E25" s="12">
        <f>C25*$C$12</f>
        <v>145.97052751810332</v>
      </c>
      <c r="F25" s="23"/>
    </row>
    <row r="26" spans="2:7" ht="16.5">
      <c r="B26" s="10" t="s">
        <v>15</v>
      </c>
      <c r="C26" s="59">
        <f>FV(C18,20*12,C16*-1)</f>
        <v>112519.84000970806</v>
      </c>
      <c r="D26" s="60"/>
      <c r="E26" s="12">
        <f>C26*$C$12</f>
        <v>675.1190400582484</v>
      </c>
    </row>
    <row r="27" spans="2:7" ht="16.5">
      <c r="B27" s="10" t="s">
        <v>16</v>
      </c>
      <c r="C27" s="59">
        <f>FV(C18,30*12,C16*-1)</f>
        <v>432216.96550047147</v>
      </c>
      <c r="D27" s="60"/>
      <c r="E27" s="12">
        <f>C27*$C$12</f>
        <v>2593.3017930028291</v>
      </c>
    </row>
    <row r="29" spans="2:7">
      <c r="G29" s="9"/>
    </row>
    <row r="30" spans="2:7" ht="16.5">
      <c r="B30" s="54" t="s">
        <v>17</v>
      </c>
      <c r="C30" s="54"/>
      <c r="D30" s="53" t="s">
        <v>18</v>
      </c>
      <c r="E30" s="53"/>
    </row>
    <row r="31" spans="2:7" ht="16.5">
      <c r="B31" s="32"/>
      <c r="C31" s="15"/>
      <c r="D31" s="15"/>
      <c r="E31" s="33">
        <v>500</v>
      </c>
    </row>
    <row r="32" spans="2:7" ht="16.5">
      <c r="B32" s="35" t="s">
        <v>19</v>
      </c>
      <c r="C32" s="36" t="s">
        <v>20</v>
      </c>
      <c r="D32" s="34"/>
      <c r="E32" s="36" t="s">
        <v>21</v>
      </c>
    </row>
    <row r="33" spans="2:5" ht="16.5">
      <c r="B33" s="37" t="s">
        <v>22</v>
      </c>
      <c r="C33" s="41">
        <f>VLOOKUP($D$30&amp;"-"&amp;B33,Planilha1!A1:D23,4,FALSE)</f>
        <v>0.35</v>
      </c>
      <c r="D33" s="15"/>
      <c r="E33" s="31">
        <f>C33*$E$31</f>
        <v>175</v>
      </c>
    </row>
    <row r="34" spans="2:5" ht="16.5">
      <c r="B34" s="37" t="s">
        <v>23</v>
      </c>
      <c r="C34" s="41">
        <f>VLOOKUP($D$30&amp;"-"&amp;B34,Planilha1!A2:D24,4,FALSE)</f>
        <v>0.32</v>
      </c>
      <c r="D34" s="15"/>
      <c r="E34" s="31">
        <f t="shared" ref="E34:E39" si="0">C34*$E$31</f>
        <v>160</v>
      </c>
    </row>
    <row r="35" spans="2:5" ht="16.5">
      <c r="B35" s="37" t="s">
        <v>24</v>
      </c>
      <c r="C35" s="41">
        <f>VLOOKUP($D$30&amp;"-"&amp;B35,Planilha1!A3:D25,4,FALSE)</f>
        <v>0.08</v>
      </c>
      <c r="D35" s="15" t="s">
        <v>25</v>
      </c>
      <c r="E35" s="31">
        <f t="shared" si="0"/>
        <v>40</v>
      </c>
    </row>
    <row r="36" spans="2:5" ht="16.5">
      <c r="B36" s="37" t="s">
        <v>26</v>
      </c>
      <c r="C36" s="41">
        <f>VLOOKUP($D$30&amp;"-"&amp;B36,Planilha1!A4:D26,4,FALSE)</f>
        <v>0.05</v>
      </c>
      <c r="D36" s="15"/>
      <c r="E36" s="31">
        <f t="shared" si="0"/>
        <v>25</v>
      </c>
    </row>
    <row r="37" spans="2:5" ht="16.5">
      <c r="B37" s="37" t="s">
        <v>27</v>
      </c>
      <c r="C37" s="41">
        <f>VLOOKUP($D$30&amp;"-"&amp;B37,Planilha1!A5:D27,4,FALSE)</f>
        <v>0.1</v>
      </c>
      <c r="D37" s="15"/>
      <c r="E37" s="31">
        <f t="shared" si="0"/>
        <v>50</v>
      </c>
    </row>
    <row r="38" spans="2:5" ht="16.5">
      <c r="B38" s="37" t="s">
        <v>28</v>
      </c>
      <c r="C38" s="41">
        <f>VLOOKUP($D$30&amp;"-"&amp;B38,Planilha1!A6:D28,4,FALSE)</f>
        <v>0.1</v>
      </c>
      <c r="D38" s="15"/>
      <c r="E38" s="31">
        <f t="shared" si="0"/>
        <v>50</v>
      </c>
    </row>
    <row r="39" spans="2:5" ht="16.5">
      <c r="B39" s="34"/>
      <c r="C39" s="34"/>
      <c r="D39" s="34"/>
      <c r="E39" s="40">
        <f>C3+E34+E35+E36+E37+E38+E33</f>
        <v>500</v>
      </c>
    </row>
  </sheetData>
  <mergeCells count="7">
    <mergeCell ref="D30:E30"/>
    <mergeCell ref="B30:C30"/>
    <mergeCell ref="C20:D20"/>
    <mergeCell ref="C19:D19"/>
    <mergeCell ref="C17:D17"/>
    <mergeCell ref="C26:D26"/>
    <mergeCell ref="C27:D27"/>
  </mergeCells>
  <dataValidations count="1">
    <dataValidation type="list" allowBlank="1" showInputMessage="1" showErrorMessage="1" sqref="D30:E30" xr:uid="{66F6859F-E21D-46F6-B0A4-A53AB169564D}">
      <formula1>"Conservador, 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59D5-7A4D-4DAB-AADC-D9B5C4F8EE03}">
  <dimension ref="A1:J25"/>
  <sheetViews>
    <sheetView topLeftCell="A5" workbookViewId="0">
      <selection activeCell="D12" sqref="D12"/>
    </sheetView>
  </sheetViews>
  <sheetFormatPr defaultRowHeight="15"/>
  <cols>
    <col min="1" max="1" width="29.7109375" customWidth="1"/>
    <col min="2" max="2" width="18.5703125" bestFit="1" customWidth="1"/>
    <col min="3" max="3" width="16.85546875" bestFit="1" customWidth="1"/>
    <col min="4" max="4" width="14.85546875" customWidth="1"/>
    <col min="8" max="8" width="10.28515625" customWidth="1"/>
    <col min="10" max="10" width="19.5703125" customWidth="1"/>
  </cols>
  <sheetData>
    <row r="1" spans="1:10">
      <c r="A1" s="44" t="s">
        <v>29</v>
      </c>
      <c r="B1" s="45" t="s">
        <v>30</v>
      </c>
      <c r="C1" s="45" t="s">
        <v>31</v>
      </c>
      <c r="D1" s="45" t="s">
        <v>32</v>
      </c>
    </row>
    <row r="2" spans="1:10" ht="16.5">
      <c r="A2" s="42" t="s">
        <v>33</v>
      </c>
      <c r="B2" s="37" t="s">
        <v>34</v>
      </c>
      <c r="C2" s="37" t="s">
        <v>22</v>
      </c>
      <c r="D2" s="46">
        <v>0.3</v>
      </c>
    </row>
    <row r="3" spans="1:10" ht="16.5">
      <c r="A3" s="41" t="s">
        <v>35</v>
      </c>
      <c r="B3" s="37" t="s">
        <v>34</v>
      </c>
      <c r="C3" s="37" t="s">
        <v>23</v>
      </c>
      <c r="D3" s="46">
        <v>0.5</v>
      </c>
    </row>
    <row r="4" spans="1:10" ht="16.5">
      <c r="A4" s="41" t="s">
        <v>36</v>
      </c>
      <c r="B4" s="37" t="s">
        <v>34</v>
      </c>
      <c r="C4" s="37" t="s">
        <v>24</v>
      </c>
      <c r="D4" s="46">
        <v>0.1</v>
      </c>
    </row>
    <row r="5" spans="1:10" ht="16.5">
      <c r="A5" s="41" t="s">
        <v>37</v>
      </c>
      <c r="B5" s="37" t="s">
        <v>34</v>
      </c>
      <c r="C5" s="37" t="s">
        <v>26</v>
      </c>
      <c r="D5" s="46">
        <v>0.1</v>
      </c>
    </row>
    <row r="6" spans="1:10" ht="17.25" customHeight="1">
      <c r="A6" s="41" t="s">
        <v>38</v>
      </c>
      <c r="B6" s="37" t="s">
        <v>34</v>
      </c>
      <c r="C6" s="37" t="s">
        <v>27</v>
      </c>
      <c r="D6" s="46">
        <v>0</v>
      </c>
    </row>
    <row r="7" spans="1:10" ht="16.5">
      <c r="A7" s="38" t="s">
        <v>39</v>
      </c>
      <c r="B7" s="37" t="s">
        <v>34</v>
      </c>
      <c r="C7" s="37" t="s">
        <v>28</v>
      </c>
      <c r="D7" s="46">
        <v>0</v>
      </c>
      <c r="H7" s="61" t="str">
        <f>A11</f>
        <v>Moderado-Tijolo</v>
      </c>
      <c r="I7" s="61"/>
      <c r="J7" s="49">
        <f>VLOOKUP(H7,A1:D23,4,FALSE)</f>
        <v>0.32</v>
      </c>
    </row>
    <row r="8" spans="1:10">
      <c r="A8" s="50"/>
      <c r="B8" s="43"/>
      <c r="C8" s="43"/>
      <c r="D8" s="47"/>
    </row>
    <row r="9" spans="1:10">
      <c r="A9" s="45" t="s">
        <v>29</v>
      </c>
      <c r="B9" s="45" t="s">
        <v>30</v>
      </c>
      <c r="C9" s="45" t="s">
        <v>31</v>
      </c>
      <c r="D9" s="48"/>
    </row>
    <row r="10" spans="1:10" ht="16.5">
      <c r="A10" s="42" t="str">
        <f>B10&amp;"-"&amp;C10</f>
        <v>Moderado-Papel</v>
      </c>
      <c r="B10" t="s">
        <v>18</v>
      </c>
      <c r="C10" s="37" t="s">
        <v>22</v>
      </c>
      <c r="D10" s="46">
        <v>0.35</v>
      </c>
    </row>
    <row r="11" spans="1:10" ht="16.5">
      <c r="A11" s="42" t="str">
        <f t="shared" ref="A11:A15" si="0">B11&amp;"-"&amp;C11</f>
        <v>Moderado-Tijolo</v>
      </c>
      <c r="B11" t="s">
        <v>18</v>
      </c>
      <c r="C11" s="37" t="s">
        <v>23</v>
      </c>
      <c r="D11" s="46">
        <v>0.32</v>
      </c>
    </row>
    <row r="12" spans="1:10" ht="16.5">
      <c r="A12" s="42" t="str">
        <f t="shared" si="0"/>
        <v>Moderado-Híbridos</v>
      </c>
      <c r="B12" t="s">
        <v>18</v>
      </c>
      <c r="C12" s="37" t="s">
        <v>24</v>
      </c>
      <c r="D12" s="46">
        <v>0.08</v>
      </c>
    </row>
    <row r="13" spans="1:10" ht="16.5">
      <c r="A13" s="42" t="str">
        <f t="shared" si="0"/>
        <v>Moderado-FOFs</v>
      </c>
      <c r="B13" t="s">
        <v>18</v>
      </c>
      <c r="C13" s="37" t="s">
        <v>26</v>
      </c>
      <c r="D13" s="46">
        <v>0.05</v>
      </c>
    </row>
    <row r="14" spans="1:10" ht="16.5">
      <c r="A14" s="42" t="str">
        <f t="shared" si="0"/>
        <v xml:space="preserve">Moderado-Desenvolvimento </v>
      </c>
      <c r="B14" t="s">
        <v>18</v>
      </c>
      <c r="C14" s="37" t="s">
        <v>27</v>
      </c>
      <c r="D14" s="46">
        <v>0.1</v>
      </c>
    </row>
    <row r="15" spans="1:10" ht="16.5">
      <c r="A15" s="42" t="str">
        <f t="shared" si="0"/>
        <v>Moderado-Hotelarias</v>
      </c>
      <c r="B15" t="s">
        <v>18</v>
      </c>
      <c r="C15" s="37" t="s">
        <v>28</v>
      </c>
      <c r="D15" s="46">
        <v>0.1</v>
      </c>
    </row>
    <row r="16" spans="1:10">
      <c r="A16" s="50"/>
      <c r="B16" s="43"/>
      <c r="C16" s="43"/>
      <c r="D16" s="47"/>
    </row>
    <row r="17" spans="1:4">
      <c r="A17" s="45" t="s">
        <v>29</v>
      </c>
      <c r="B17" s="45" t="s">
        <v>30</v>
      </c>
      <c r="C17" s="45" t="s">
        <v>31</v>
      </c>
      <c r="D17" s="48"/>
    </row>
    <row r="18" spans="1:4" ht="16.5">
      <c r="A18" s="42" t="str">
        <f>B18&amp;"-"&amp;C18</f>
        <v>Agressivo-Papel</v>
      </c>
      <c r="B18" t="s">
        <v>40</v>
      </c>
      <c r="C18" s="37" t="s">
        <v>22</v>
      </c>
      <c r="D18" s="46">
        <v>0.5</v>
      </c>
    </row>
    <row r="19" spans="1:4" ht="16.5">
      <c r="A19" s="42" t="str">
        <f t="shared" ref="A19:A23" si="1">B19&amp;"-"&amp;C19</f>
        <v>Agressivo-Tijolo</v>
      </c>
      <c r="B19" t="s">
        <v>40</v>
      </c>
      <c r="C19" s="37" t="s">
        <v>23</v>
      </c>
      <c r="D19" s="46">
        <v>0.1</v>
      </c>
    </row>
    <row r="20" spans="1:4" ht="16.5">
      <c r="A20" s="42" t="str">
        <f t="shared" si="1"/>
        <v>Agressivo-Híbridos</v>
      </c>
      <c r="B20" t="s">
        <v>40</v>
      </c>
      <c r="C20" s="37" t="s">
        <v>24</v>
      </c>
      <c r="D20" s="46">
        <v>0.05</v>
      </c>
    </row>
    <row r="21" spans="1:4" ht="16.5">
      <c r="A21" s="42" t="str">
        <f t="shared" si="1"/>
        <v>Agressivo-FOFs</v>
      </c>
      <c r="B21" t="s">
        <v>40</v>
      </c>
      <c r="C21" s="37" t="s">
        <v>26</v>
      </c>
      <c r="D21" s="46">
        <v>0.05</v>
      </c>
    </row>
    <row r="22" spans="1:4" ht="16.5">
      <c r="A22" s="42" t="str">
        <f t="shared" si="1"/>
        <v xml:space="preserve">Agressivo-Desenvolvimento </v>
      </c>
      <c r="B22" t="s">
        <v>40</v>
      </c>
      <c r="C22" s="37" t="s">
        <v>27</v>
      </c>
      <c r="D22" s="46">
        <v>0.2</v>
      </c>
    </row>
    <row r="23" spans="1:4" ht="16.5">
      <c r="A23" s="42" t="str">
        <f t="shared" si="1"/>
        <v>Agressivo-Hotelarias</v>
      </c>
      <c r="B23" t="s">
        <v>40</v>
      </c>
      <c r="C23" s="37" t="s">
        <v>28</v>
      </c>
      <c r="D23" s="46">
        <v>0.1</v>
      </c>
    </row>
    <row r="24" spans="1:4">
      <c r="D24" s="39"/>
    </row>
    <row r="25" spans="1:4">
      <c r="D25" s="39"/>
    </row>
  </sheetData>
  <mergeCells count="1">
    <mergeCell ref="H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2026-10-07T14:25:17Z</dcterms:created>
  <dcterms:modified xsi:type="dcterms:W3CDTF">2026-10-13T19:00:38Z</dcterms:modified>
  <cp:category/>
  <cp:contentStatus/>
</cp:coreProperties>
</file>